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TUGAS DD\"/>
    </mc:Choice>
  </mc:AlternateContent>
  <xr:revisionPtr revIDLastSave="0" documentId="8_{3E6214E5-0A86-4645-864E-133FD46370B1}" xr6:coauthVersionLast="47" xr6:coauthVersionMax="47" xr10:uidLastSave="{00000000-0000-0000-0000-000000000000}"/>
  <bookViews>
    <workbookView xWindow="-108" yWindow="-108" windowWidth="23256" windowHeight="12456" activeTab="1" xr2:uid="{8A8CAEB0-EDCB-455A-ADFA-4077F592A9B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2" l="1"/>
  <c r="L6" i="2"/>
  <c r="K7" i="1"/>
  <c r="K8" i="1"/>
  <c r="K9" i="1"/>
  <c r="K10" i="1"/>
  <c r="K11" i="1"/>
  <c r="K12" i="1"/>
  <c r="K13" i="1"/>
  <c r="K14" i="1"/>
  <c r="K15" i="1"/>
  <c r="K16" i="1"/>
  <c r="K6" i="1"/>
  <c r="M7" i="1"/>
  <c r="M8" i="1"/>
  <c r="M9" i="1"/>
  <c r="M10" i="1"/>
  <c r="M11" i="1"/>
  <c r="M12" i="1"/>
  <c r="M13" i="1"/>
  <c r="M14" i="1"/>
  <c r="M15" i="1"/>
  <c r="M16" i="1"/>
  <c r="M6" i="1"/>
  <c r="L6" i="1"/>
  <c r="L7" i="1"/>
  <c r="L8" i="1"/>
  <c r="L9" i="1"/>
  <c r="L10" i="1"/>
  <c r="L11" i="1"/>
  <c r="L12" i="1"/>
  <c r="L13" i="1"/>
  <c r="L14" i="1"/>
  <c r="L15" i="1"/>
  <c r="L16" i="1"/>
  <c r="J7" i="1"/>
  <c r="J8" i="1"/>
  <c r="J9" i="1"/>
  <c r="J10" i="1"/>
  <c r="J11" i="1"/>
  <c r="J12" i="1"/>
  <c r="J13" i="1"/>
  <c r="J14" i="1"/>
  <c r="J15" i="1"/>
  <c r="J16" i="1"/>
  <c r="J6" i="1"/>
</calcChain>
</file>

<file path=xl/sharedStrings.xml><?xml version="1.0" encoding="utf-8"?>
<sst xmlns="http://schemas.openxmlformats.org/spreadsheetml/2006/main" count="95" uniqueCount="69">
  <si>
    <t>no</t>
  </si>
  <si>
    <t xml:space="preserve">kode id </t>
  </si>
  <si>
    <t>nama produk</t>
  </si>
  <si>
    <t>kategori</t>
  </si>
  <si>
    <t>harga</t>
  </si>
  <si>
    <t>satuan</t>
  </si>
  <si>
    <t>kode id</t>
  </si>
  <si>
    <t>bungkus</t>
  </si>
  <si>
    <t>botol</t>
  </si>
  <si>
    <t>liter</t>
  </si>
  <si>
    <t>gelas</t>
  </si>
  <si>
    <t>box</t>
  </si>
  <si>
    <t>roti</t>
  </si>
  <si>
    <t>jus apel</t>
  </si>
  <si>
    <t>wipol</t>
  </si>
  <si>
    <t>kopi</t>
  </si>
  <si>
    <t>susu</t>
  </si>
  <si>
    <t>lele</t>
  </si>
  <si>
    <t>ikan koi</t>
  </si>
  <si>
    <t>bus basuri</t>
  </si>
  <si>
    <t>alphard</t>
  </si>
  <si>
    <t>es the</t>
  </si>
  <si>
    <t>pisang</t>
  </si>
  <si>
    <t>ekor</t>
  </si>
  <si>
    <t>unit</t>
  </si>
  <si>
    <t>kilo</t>
  </si>
  <si>
    <t>makanan</t>
  </si>
  <si>
    <t>minuman</t>
  </si>
  <si>
    <t>porselen</t>
  </si>
  <si>
    <t>hewan</t>
  </si>
  <si>
    <t>kendaraan</t>
  </si>
  <si>
    <t>buah</t>
  </si>
  <si>
    <t>NAMA</t>
  </si>
  <si>
    <t>BARANG</t>
  </si>
  <si>
    <t>HARGA</t>
  </si>
  <si>
    <t>SATUAN</t>
  </si>
  <si>
    <t>JUMLAH</t>
  </si>
  <si>
    <t>KODE ID</t>
  </si>
  <si>
    <t>AZRIL</t>
  </si>
  <si>
    <t>NUHA</t>
  </si>
  <si>
    <t>MAULANA</t>
  </si>
  <si>
    <t>RIZKY APR</t>
  </si>
  <si>
    <t>HILDAWATI</t>
  </si>
  <si>
    <t>NETI</t>
  </si>
  <si>
    <t>FATHIR</t>
  </si>
  <si>
    <t>FIQRI</t>
  </si>
  <si>
    <t>FAQIH</t>
  </si>
  <si>
    <t>IRFAN</t>
  </si>
  <si>
    <t>LUKMAN</t>
  </si>
  <si>
    <t>BELLA</t>
  </si>
  <si>
    <t>REINA</t>
  </si>
  <si>
    <t>RARA</t>
  </si>
  <si>
    <t>MS.BREEW</t>
  </si>
  <si>
    <t>EUNICE</t>
  </si>
  <si>
    <t>SKRIPSI</t>
  </si>
  <si>
    <t>BUKU IPA</t>
  </si>
  <si>
    <t>BUKU B INDO</t>
  </si>
  <si>
    <t>IPA</t>
  </si>
  <si>
    <t>IPS</t>
  </si>
  <si>
    <t>OBAT PENINGGI</t>
  </si>
  <si>
    <t>KODOK</t>
  </si>
  <si>
    <t>RX KING</t>
  </si>
  <si>
    <t>KDUIT</t>
  </si>
  <si>
    <t>MAHAR</t>
  </si>
  <si>
    <t>CINTA</t>
  </si>
  <si>
    <t>ASEP</t>
  </si>
  <si>
    <t>KILO</t>
  </si>
  <si>
    <t xml:space="preserve">KODE ID </t>
  </si>
  <si>
    <t xml:space="preserve">NAMA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</si>
</sst>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4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8254-64D7-4937-A2CE-CB4C27724578}">
  <dimension ref="H5:S23"/>
  <sheetViews>
    <sheetView topLeftCell="E1" zoomScaleNormal="100" workbookViewId="0">
      <selection activeCell="K5" sqref="K5"/>
    </sheetView>
  </sheetViews>
  <sheetFormatPr defaultRowHeight="14.4" x14ac:dyDescent="0.3"/>
  <cols>
    <col min="8" max="8" width="12.77734375" customWidth="1"/>
    <col min="10" max="10" width="12.109375" customWidth="1"/>
    <col min="16" max="17" width="10" bestFit="1" customWidth="1"/>
  </cols>
  <sheetData>
    <row r="5" spans="8:13" x14ac:dyDescent="0.3">
      <c r="H5" s="2" t="s">
        <v>0</v>
      </c>
      <c r="I5" s="2" t="s">
        <v>1</v>
      </c>
      <c r="J5" s="2" t="s">
        <v>2</v>
      </c>
      <c r="K5" s="2" t="s">
        <v>3</v>
      </c>
      <c r="L5" s="2" t="s">
        <v>4</v>
      </c>
      <c r="M5" s="2" t="s">
        <v>5</v>
      </c>
    </row>
    <row r="6" spans="8:13" x14ac:dyDescent="0.3">
      <c r="H6" s="1">
        <v>1</v>
      </c>
      <c r="I6" s="1">
        <v>212</v>
      </c>
      <c r="J6" s="1" t="str">
        <f>HLOOKUP(I6:I16,$H$19:$S$22,2,FALSE)</f>
        <v>roti</v>
      </c>
      <c r="K6" s="1" t="str">
        <f>HLOOKUP(I6:I16,$H$19:$S$23,5,FALSE)</f>
        <v>makanan</v>
      </c>
      <c r="L6" s="1">
        <f>HLOOKUP(I6:I16,$H$19:$S$22,3,FALSE)</f>
        <v>15000</v>
      </c>
      <c r="M6" s="1" t="str">
        <f>HLOOKUP(I6:I16,$H$19:$S$22,4,FALSE)</f>
        <v>bungkus</v>
      </c>
    </row>
    <row r="7" spans="8:13" x14ac:dyDescent="0.3">
      <c r="H7" s="1">
        <v>2</v>
      </c>
      <c r="I7" s="1">
        <v>213</v>
      </c>
      <c r="J7" s="1" t="str">
        <f t="shared" ref="J7:J16" si="0">HLOOKUP(I7:I17,$H$19:$S$22,2,FALSE)</f>
        <v>jus apel</v>
      </c>
      <c r="K7" s="1" t="str">
        <f t="shared" ref="K7:K16" si="1">HLOOKUP(I7:I17,$H$19:$S$23,5,FALSE)</f>
        <v>minuman</v>
      </c>
      <c r="L7" s="1">
        <f t="shared" ref="L7:L16" si="2">HLOOKUP(I7:I17,$H$19:$S$22,3,FALSE)</f>
        <v>10000</v>
      </c>
      <c r="M7" s="1" t="str">
        <f t="shared" ref="M7:M16" si="3">HLOOKUP(I7:I17,$H$19:$S$22,4,FALSE)</f>
        <v>botol</v>
      </c>
    </row>
    <row r="8" spans="8:13" x14ac:dyDescent="0.3">
      <c r="H8" s="1">
        <v>3</v>
      </c>
      <c r="I8" s="1">
        <v>214</v>
      </c>
      <c r="J8" s="1" t="str">
        <f t="shared" si="0"/>
        <v>wipol</v>
      </c>
      <c r="K8" s="1" t="str">
        <f t="shared" si="1"/>
        <v>porselen</v>
      </c>
      <c r="L8" s="1">
        <f t="shared" si="2"/>
        <v>13000</v>
      </c>
      <c r="M8" s="1" t="str">
        <f t="shared" si="3"/>
        <v>liter</v>
      </c>
    </row>
    <row r="9" spans="8:13" x14ac:dyDescent="0.3">
      <c r="H9" s="1">
        <v>4</v>
      </c>
      <c r="I9" s="1">
        <v>215</v>
      </c>
      <c r="J9" s="1" t="str">
        <f t="shared" si="0"/>
        <v>kopi</v>
      </c>
      <c r="K9" s="1" t="str">
        <f t="shared" si="1"/>
        <v>minuman</v>
      </c>
      <c r="L9" s="1">
        <f t="shared" si="2"/>
        <v>6000</v>
      </c>
      <c r="M9" s="1" t="str">
        <f t="shared" si="3"/>
        <v>gelas</v>
      </c>
    </row>
    <row r="10" spans="8:13" x14ac:dyDescent="0.3">
      <c r="H10" s="1">
        <v>5</v>
      </c>
      <c r="I10" s="1">
        <v>216</v>
      </c>
      <c r="J10" s="1" t="str">
        <f t="shared" si="0"/>
        <v>susu</v>
      </c>
      <c r="K10" s="1" t="str">
        <f t="shared" si="1"/>
        <v>minuman</v>
      </c>
      <c r="L10" s="1">
        <f t="shared" si="2"/>
        <v>70000</v>
      </c>
      <c r="M10" s="1" t="str">
        <f t="shared" si="3"/>
        <v>box</v>
      </c>
    </row>
    <row r="11" spans="8:13" x14ac:dyDescent="0.3">
      <c r="H11" s="1">
        <v>6</v>
      </c>
      <c r="I11" s="1">
        <v>217</v>
      </c>
      <c r="J11" s="1" t="str">
        <f t="shared" si="0"/>
        <v>lele</v>
      </c>
      <c r="K11" s="1" t="str">
        <f t="shared" si="1"/>
        <v>hewan</v>
      </c>
      <c r="L11" s="1">
        <f t="shared" si="2"/>
        <v>1000</v>
      </c>
      <c r="M11" s="1" t="str">
        <f t="shared" si="3"/>
        <v>ekor</v>
      </c>
    </row>
    <row r="12" spans="8:13" x14ac:dyDescent="0.3">
      <c r="H12" s="1">
        <v>7</v>
      </c>
      <c r="I12" s="1">
        <v>218</v>
      </c>
      <c r="J12" s="1" t="str">
        <f t="shared" si="0"/>
        <v>ikan koi</v>
      </c>
      <c r="K12" s="1" t="str">
        <f t="shared" si="1"/>
        <v>hewan</v>
      </c>
      <c r="L12" s="1">
        <f t="shared" si="2"/>
        <v>1000000</v>
      </c>
      <c r="M12" s="1" t="str">
        <f t="shared" si="3"/>
        <v>ekor</v>
      </c>
    </row>
    <row r="13" spans="8:13" x14ac:dyDescent="0.3">
      <c r="H13" s="1">
        <v>8</v>
      </c>
      <c r="I13" s="1">
        <v>219</v>
      </c>
      <c r="J13" s="1" t="str">
        <f t="shared" si="0"/>
        <v>bus basuri</v>
      </c>
      <c r="K13" s="1" t="str">
        <f t="shared" si="1"/>
        <v>kendaraan</v>
      </c>
      <c r="L13" s="1">
        <f t="shared" si="2"/>
        <v>100000000</v>
      </c>
      <c r="M13" s="1" t="str">
        <f t="shared" si="3"/>
        <v>unit</v>
      </c>
    </row>
    <row r="14" spans="8:13" x14ac:dyDescent="0.3">
      <c r="H14" s="1">
        <v>9</v>
      </c>
      <c r="I14" s="1">
        <v>220</v>
      </c>
      <c r="J14" s="1" t="str">
        <f t="shared" si="0"/>
        <v>alphard</v>
      </c>
      <c r="K14" s="1" t="str">
        <f t="shared" si="1"/>
        <v>kendaraan</v>
      </c>
      <c r="L14" s="1">
        <f t="shared" si="2"/>
        <v>150000000</v>
      </c>
      <c r="M14" s="1" t="str">
        <f t="shared" si="3"/>
        <v>unit</v>
      </c>
    </row>
    <row r="15" spans="8:13" x14ac:dyDescent="0.3">
      <c r="H15" s="1">
        <v>10</v>
      </c>
      <c r="I15" s="1">
        <v>221</v>
      </c>
      <c r="J15" s="1" t="str">
        <f t="shared" si="0"/>
        <v>es the</v>
      </c>
      <c r="K15" s="1" t="str">
        <f t="shared" si="1"/>
        <v>minuman</v>
      </c>
      <c r="L15" s="1">
        <f t="shared" si="2"/>
        <v>2000</v>
      </c>
      <c r="M15" s="1" t="str">
        <f t="shared" si="3"/>
        <v>gelas</v>
      </c>
    </row>
    <row r="16" spans="8:13" x14ac:dyDescent="0.3">
      <c r="H16" s="1">
        <v>11</v>
      </c>
      <c r="I16" s="1">
        <v>222</v>
      </c>
      <c r="J16" s="1" t="str">
        <f t="shared" si="0"/>
        <v>pisang</v>
      </c>
      <c r="K16" s="1" t="str">
        <f t="shared" si="1"/>
        <v>buah</v>
      </c>
      <c r="L16" s="1">
        <f t="shared" si="2"/>
        <v>1000</v>
      </c>
      <c r="M16" s="1" t="str">
        <f t="shared" si="3"/>
        <v>kilo</v>
      </c>
    </row>
    <row r="19" spans="8:19" x14ac:dyDescent="0.3">
      <c r="H19" s="2" t="s">
        <v>6</v>
      </c>
      <c r="I19" s="1">
        <v>212</v>
      </c>
      <c r="J19" s="1">
        <v>213</v>
      </c>
      <c r="K19" s="1">
        <v>214</v>
      </c>
      <c r="L19" s="1">
        <v>215</v>
      </c>
      <c r="M19" s="1">
        <v>216</v>
      </c>
      <c r="N19" s="1">
        <v>217</v>
      </c>
      <c r="O19" s="1">
        <v>218</v>
      </c>
      <c r="P19" s="1">
        <v>219</v>
      </c>
      <c r="Q19" s="1">
        <v>220</v>
      </c>
      <c r="R19" s="1">
        <v>221</v>
      </c>
      <c r="S19" s="1">
        <v>222</v>
      </c>
    </row>
    <row r="20" spans="8:19" x14ac:dyDescent="0.3">
      <c r="H20" s="2" t="s">
        <v>2</v>
      </c>
      <c r="I20" s="1" t="s">
        <v>12</v>
      </c>
      <c r="J20" s="1" t="s">
        <v>13</v>
      </c>
      <c r="K20" s="1" t="s">
        <v>14</v>
      </c>
      <c r="L20" s="1" t="s">
        <v>15</v>
      </c>
      <c r="M20" s="1" t="s">
        <v>16</v>
      </c>
      <c r="N20" s="1" t="s">
        <v>17</v>
      </c>
      <c r="O20" s="1" t="s">
        <v>18</v>
      </c>
      <c r="P20" s="1" t="s">
        <v>19</v>
      </c>
      <c r="Q20" s="1" t="s">
        <v>20</v>
      </c>
      <c r="R20" s="1" t="s">
        <v>21</v>
      </c>
      <c r="S20" s="1" t="s">
        <v>22</v>
      </c>
    </row>
    <row r="21" spans="8:19" x14ac:dyDescent="0.3">
      <c r="H21" s="2" t="s">
        <v>4</v>
      </c>
      <c r="I21" s="1">
        <v>15000</v>
      </c>
      <c r="J21" s="1">
        <v>10000</v>
      </c>
      <c r="K21" s="1">
        <v>13000</v>
      </c>
      <c r="L21" s="1">
        <v>6000</v>
      </c>
      <c r="M21" s="1">
        <v>70000</v>
      </c>
      <c r="N21" s="1">
        <v>1000</v>
      </c>
      <c r="O21" s="1">
        <v>1000000</v>
      </c>
      <c r="P21" s="1">
        <v>100000000</v>
      </c>
      <c r="Q21" s="1">
        <v>150000000</v>
      </c>
      <c r="R21" s="1">
        <v>2000</v>
      </c>
      <c r="S21" s="1">
        <v>1000</v>
      </c>
    </row>
    <row r="22" spans="8:19" x14ac:dyDescent="0.3">
      <c r="H22" s="2" t="s">
        <v>5</v>
      </c>
      <c r="I22" s="1" t="s">
        <v>7</v>
      </c>
      <c r="J22" s="1" t="s">
        <v>8</v>
      </c>
      <c r="K22" s="1" t="s">
        <v>9</v>
      </c>
      <c r="L22" s="1" t="s">
        <v>10</v>
      </c>
      <c r="M22" s="1" t="s">
        <v>11</v>
      </c>
      <c r="N22" s="1" t="s">
        <v>23</v>
      </c>
      <c r="O22" s="1" t="s">
        <v>23</v>
      </c>
      <c r="P22" s="1" t="s">
        <v>24</v>
      </c>
      <c r="Q22" s="1" t="s">
        <v>24</v>
      </c>
      <c r="R22" s="1" t="s">
        <v>10</v>
      </c>
      <c r="S22" s="1" t="s">
        <v>25</v>
      </c>
    </row>
    <row r="23" spans="8:19" x14ac:dyDescent="0.3">
      <c r="H23" s="2" t="s">
        <v>3</v>
      </c>
      <c r="I23" s="1" t="s">
        <v>26</v>
      </c>
      <c r="J23" s="1" t="s">
        <v>27</v>
      </c>
      <c r="K23" s="1" t="s">
        <v>28</v>
      </c>
      <c r="L23" s="1" t="s">
        <v>27</v>
      </c>
      <c r="M23" s="1" t="s">
        <v>27</v>
      </c>
      <c r="N23" s="1" t="s">
        <v>29</v>
      </c>
      <c r="O23" s="1" t="s">
        <v>29</v>
      </c>
      <c r="P23" s="1" t="s">
        <v>30</v>
      </c>
      <c r="Q23" s="1" t="s">
        <v>30</v>
      </c>
      <c r="R23" s="1" t="s">
        <v>27</v>
      </c>
      <c r="S23" s="1" t="s">
        <v>31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D932-6FBE-4517-A22A-F4488A310DB3}">
  <dimension ref="C5:N19"/>
  <sheetViews>
    <sheetView tabSelected="1" topLeftCell="F4" zoomScale="115" zoomScaleNormal="115" workbookViewId="0">
      <selection activeCell="N6" sqref="N6"/>
    </sheetView>
  </sheetViews>
  <sheetFormatPr defaultRowHeight="14.4" x14ac:dyDescent="0.3"/>
  <cols>
    <col min="3" max="3" width="19.109375" customWidth="1"/>
    <col min="4" max="4" width="16.5546875" customWidth="1"/>
    <col min="5" max="5" width="26.77734375" customWidth="1"/>
    <col min="6" max="6" width="17.88671875" customWidth="1"/>
    <col min="7" max="7" width="17.33203125" customWidth="1"/>
    <col min="8" max="8" width="17.88671875" customWidth="1"/>
    <col min="9" max="9" width="17.109375" customWidth="1"/>
    <col min="11" max="13" width="13.88671875" customWidth="1"/>
    <col min="14" max="14" width="17.88671875" customWidth="1"/>
    <col min="15" max="15" width="13.5546875" customWidth="1"/>
  </cols>
  <sheetData>
    <row r="5" spans="3:14" ht="18" x14ac:dyDescent="0.35">
      <c r="C5" s="8" t="s">
        <v>37</v>
      </c>
      <c r="D5" s="8" t="s">
        <v>32</v>
      </c>
      <c r="E5" s="8" t="s">
        <v>33</v>
      </c>
      <c r="F5" s="8" t="s">
        <v>34</v>
      </c>
      <c r="G5" s="8" t="s">
        <v>35</v>
      </c>
      <c r="H5" s="8" t="s">
        <v>36</v>
      </c>
      <c r="K5" s="8" t="s">
        <v>67</v>
      </c>
      <c r="L5" s="8" t="s">
        <v>68</v>
      </c>
      <c r="M5" s="8" t="s">
        <v>34</v>
      </c>
    </row>
    <row r="6" spans="3:14" x14ac:dyDescent="0.3">
      <c r="C6" s="7">
        <v>112</v>
      </c>
      <c r="D6" s="3" t="s">
        <v>38</v>
      </c>
      <c r="E6" s="5" t="s">
        <v>52</v>
      </c>
      <c r="F6" s="6">
        <v>1000000</v>
      </c>
      <c r="G6" s="7" t="s">
        <v>66</v>
      </c>
      <c r="H6" s="7">
        <v>1</v>
      </c>
      <c r="K6">
        <v>112</v>
      </c>
      <c r="L6" t="str">
        <f>VLOOKUP(K6,C5:H19,2,FALSE)</f>
        <v>AZRIL</v>
      </c>
      <c r="M6">
        <v>1000000</v>
      </c>
      <c r="N6" t="e">
        <f>VLOOKUP(6,C5:H19,4,FALSE)</f>
        <v>#N/A</v>
      </c>
    </row>
    <row r="7" spans="3:14" x14ac:dyDescent="0.3">
      <c r="C7" s="7">
        <v>113</v>
      </c>
      <c r="D7" s="4" t="s">
        <v>39</v>
      </c>
      <c r="E7" s="5" t="s">
        <v>53</v>
      </c>
      <c r="F7" s="6">
        <v>12000000</v>
      </c>
      <c r="G7" s="7" t="s">
        <v>66</v>
      </c>
      <c r="H7" s="7">
        <v>2</v>
      </c>
    </row>
    <row r="8" spans="3:14" x14ac:dyDescent="0.3">
      <c r="C8" s="7">
        <v>445</v>
      </c>
      <c r="D8" s="4" t="s">
        <v>40</v>
      </c>
      <c r="E8" s="5" t="s">
        <v>54</v>
      </c>
      <c r="F8" s="6">
        <v>2000000</v>
      </c>
      <c r="G8" s="7" t="s">
        <v>66</v>
      </c>
      <c r="H8" s="7">
        <v>3</v>
      </c>
    </row>
    <row r="9" spans="3:14" x14ac:dyDescent="0.3">
      <c r="C9" s="7">
        <v>446</v>
      </c>
      <c r="D9" s="4" t="s">
        <v>41</v>
      </c>
      <c r="E9" s="5" t="s">
        <v>55</v>
      </c>
      <c r="F9" s="6">
        <v>400000</v>
      </c>
      <c r="G9" s="7" t="s">
        <v>66</v>
      </c>
      <c r="H9" s="7">
        <v>4</v>
      </c>
    </row>
    <row r="10" spans="3:14" x14ac:dyDescent="0.3">
      <c r="C10" s="7">
        <v>55</v>
      </c>
      <c r="D10" s="4" t="s">
        <v>42</v>
      </c>
      <c r="E10" s="5" t="s">
        <v>56</v>
      </c>
      <c r="F10" s="6">
        <v>30000000</v>
      </c>
      <c r="G10" s="7" t="s">
        <v>66</v>
      </c>
      <c r="H10" s="7">
        <v>5</v>
      </c>
    </row>
    <row r="11" spans="3:14" x14ac:dyDescent="0.3">
      <c r="C11" s="7">
        <v>22</v>
      </c>
      <c r="D11" s="4" t="s">
        <v>43</v>
      </c>
      <c r="E11" s="5" t="s">
        <v>57</v>
      </c>
      <c r="F11" s="6">
        <v>6000000</v>
      </c>
      <c r="G11" s="7" t="s">
        <v>66</v>
      </c>
      <c r="H11" s="7">
        <v>6</v>
      </c>
    </row>
    <row r="12" spans="3:14" x14ac:dyDescent="0.3">
      <c r="C12" s="7">
        <v>55</v>
      </c>
      <c r="D12" s="4" t="s">
        <v>44</v>
      </c>
      <c r="E12" s="5" t="s">
        <v>58</v>
      </c>
      <c r="F12" s="6">
        <v>4000000</v>
      </c>
      <c r="G12" s="7" t="s">
        <v>66</v>
      </c>
      <c r="H12" s="7">
        <v>7</v>
      </c>
    </row>
    <row r="13" spans="3:14" x14ac:dyDescent="0.3">
      <c r="C13" s="7">
        <v>55</v>
      </c>
      <c r="D13" s="4" t="s">
        <v>45</v>
      </c>
      <c r="E13" s="5" t="s">
        <v>59</v>
      </c>
      <c r="F13" s="6">
        <v>7000000</v>
      </c>
      <c r="G13" s="7" t="s">
        <v>66</v>
      </c>
      <c r="H13" s="7">
        <v>8</v>
      </c>
    </row>
    <row r="14" spans="3:14" x14ac:dyDescent="0.3">
      <c r="C14" s="7">
        <v>522</v>
      </c>
      <c r="D14" s="4" t="s">
        <v>46</v>
      </c>
      <c r="E14" s="5" t="s">
        <v>60</v>
      </c>
      <c r="F14" s="6">
        <v>8000000</v>
      </c>
      <c r="G14" s="7" t="s">
        <v>66</v>
      </c>
      <c r="H14" s="7">
        <v>9</v>
      </c>
    </row>
    <row r="15" spans="3:14" x14ac:dyDescent="0.3">
      <c r="C15" s="7">
        <v>55</v>
      </c>
      <c r="D15" s="4" t="s">
        <v>47</v>
      </c>
      <c r="E15" s="5" t="s">
        <v>61</v>
      </c>
      <c r="F15" s="6">
        <v>8900000</v>
      </c>
      <c r="G15" s="7" t="s">
        <v>66</v>
      </c>
      <c r="H15" s="7">
        <v>10</v>
      </c>
    </row>
    <row r="16" spans="3:14" x14ac:dyDescent="0.3">
      <c r="C16" s="7">
        <v>25</v>
      </c>
      <c r="D16" s="4" t="s">
        <v>48</v>
      </c>
      <c r="E16" s="5" t="s">
        <v>62</v>
      </c>
      <c r="F16" s="6">
        <v>7700000</v>
      </c>
      <c r="G16" s="7" t="s">
        <v>66</v>
      </c>
      <c r="H16" s="7">
        <v>11</v>
      </c>
    </row>
    <row r="17" spans="3:8" x14ac:dyDescent="0.3">
      <c r="C17" s="7">
        <v>5</v>
      </c>
      <c r="D17" s="4" t="s">
        <v>49</v>
      </c>
      <c r="E17" s="5" t="s">
        <v>63</v>
      </c>
      <c r="F17" s="6">
        <v>6600000</v>
      </c>
      <c r="G17" s="7" t="s">
        <v>66</v>
      </c>
      <c r="H17" s="7">
        <v>12</v>
      </c>
    </row>
    <row r="18" spans="3:8" x14ac:dyDescent="0.3">
      <c r="C18" s="7">
        <v>2</v>
      </c>
      <c r="D18" s="4" t="s">
        <v>50</v>
      </c>
      <c r="E18" s="5" t="s">
        <v>64</v>
      </c>
      <c r="F18" s="6">
        <v>66666000</v>
      </c>
      <c r="G18" s="7" t="s">
        <v>66</v>
      </c>
      <c r="H18" s="7">
        <v>13</v>
      </c>
    </row>
    <row r="19" spans="3:8" x14ac:dyDescent="0.3">
      <c r="C19" s="7">
        <v>1</v>
      </c>
      <c r="D19" s="4" t="s">
        <v>51</v>
      </c>
      <c r="E19" s="5" t="s">
        <v>65</v>
      </c>
      <c r="F19" s="6">
        <v>66660000</v>
      </c>
      <c r="G19" s="7" t="s">
        <v>66</v>
      </c>
      <c r="H19" s="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gusti maulana</dc:creator>
  <cp:lastModifiedBy>gusti maulana</cp:lastModifiedBy>
  <dcterms:created xsi:type="dcterms:W3CDTF">2025-11-22T04:07:07Z</dcterms:created>
  <dcterms:modified xsi:type="dcterms:W3CDTF">2025-11-22T06:42:57Z</dcterms:modified>
</cp:coreProperties>
</file>